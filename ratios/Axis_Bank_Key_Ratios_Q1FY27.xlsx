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_PBT_Margin" sheetId="2" state="visible" r:id="rId2"/>
    <sheet xmlns:r="http://schemas.openxmlformats.org/officeDocument/2006/relationships" name="2_Credit_Mix" sheetId="3" state="visible" r:id="rId3"/>
    <sheet xmlns:r="http://schemas.openxmlformats.org/officeDocument/2006/relationships" name="3_CASA" sheetId="4" state="visible" r:id="rId4"/>
    <sheet xmlns:r="http://schemas.openxmlformats.org/officeDocument/2006/relationships" name="4_Liab_to_Assets" sheetId="5" state="visible" r:id="rId5"/>
    <sheet xmlns:r="http://schemas.openxmlformats.org/officeDocument/2006/relationships" name="5_Asset_Stress" sheetId="6" state="visible" r:id="rId6"/>
    <sheet xmlns:r="http://schemas.openxmlformats.org/officeDocument/2006/relationships" name="6_Segment_Matrix" sheetId="7" state="visible" r:id="rId7"/>
    <sheet xmlns:r="http://schemas.openxmlformats.org/officeDocument/2006/relationships" name="Integrity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-&quot;"/>
    <numFmt numFmtId="165" formatCode="0.00%;(0.00%);&quot;-&quot;"/>
    <numFmt numFmtId="166" formatCode="+0.00&quot; pp&quot;;-0.00&quot; pp&quot;;&quot;-&quot;"/>
    <numFmt numFmtId="167" formatCode="0.00&quot;x&quot;"/>
    <numFmt numFmtId="168" formatCode="#,##0;(#,##0);&quot;-&quot;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595959"/>
      <sz val="9"/>
    </font>
    <font>
      <name val="Arial"/>
      <i val="1"/>
      <color rgb="00595959"/>
      <sz val="9"/>
    </font>
    <font>
      <name val="Arial"/>
      <color rgb="00008000"/>
      <sz val="10"/>
    </font>
    <font>
      <name val="Arial"/>
      <color rgb="00595959"/>
      <sz val="10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165" fontId="11" fillId="0" borderId="0" pivotButton="0" quotePrefix="0" xfId="0"/>
    <xf numFmtId="0" fontId="10" fillId="0" borderId="0" pivotButton="0" quotePrefix="0" xfId="0"/>
    <xf numFmtId="167" fontId="11" fillId="0" borderId="0" pivotButton="0" quotePrefix="0" xfId="0"/>
    <xf numFmtId="0" fontId="8" fillId="0" borderId="0" pivotButton="0" quotePrefix="0" xfId="0"/>
    <xf numFmtId="164" fontId="5" fillId="0" borderId="0" pivotButton="0" quotePrefix="0" xfId="0"/>
    <xf numFmtId="165" fontId="6" fillId="3" borderId="0" pivotButton="0" quotePrefix="0" xfId="0"/>
    <xf numFmtId="0" fontId="7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4" fontId="4" fillId="0" borderId="0" pivotButton="0" quotePrefix="0" xfId="0"/>
    <xf numFmtId="167" fontId="6" fillId="3" borderId="0" pivotButton="0" quotePrefix="0" xfId="0"/>
    <xf numFmtId="167" fontId="4" fillId="0" borderId="0" pivotButton="0" quotePrefix="0" xfId="0"/>
    <xf numFmtId="167" fontId="6" fillId="0" borderId="0" pivotButton="0" quotePrefix="0" xfId="0"/>
    <xf numFmtId="164" fontId="9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5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34" customWidth="1" min="4" max="4"/>
    <col width="20" customWidth="1" min="5" max="5"/>
  </cols>
  <sheetData>
    <row r="1">
      <c r="A1" s="1" t="inlineStr">
        <is>
          <t>Axis Bank — Key Customer Profitability Ratios, Q1FY27 (Standalone)</t>
        </is>
      </c>
    </row>
    <row r="2">
      <c r="A2" s="2" t="inlineStr">
        <is>
          <t>Each value links to the sheet where it is calculated.</t>
        </is>
      </c>
    </row>
    <row r="4" ht="32" customHeight="1">
      <c r="A4" s="3" t="inlineStr">
        <is>
          <t>Ratio</t>
        </is>
      </c>
      <c r="B4" s="3" t="inlineStr">
        <is>
          <t>Segment</t>
        </is>
      </c>
      <c r="C4" s="3" t="inlineStr">
        <is>
          <t>Value</t>
        </is>
      </c>
      <c r="D4" s="3" t="inlineStr">
        <is>
          <t>Formula</t>
        </is>
      </c>
      <c r="E4" s="3" t="inlineStr">
        <is>
          <t>Sheet</t>
        </is>
      </c>
    </row>
    <row r="5">
      <c r="A5" s="4" t="inlineStr">
        <is>
          <t>1. Segment PBT Margin</t>
        </is>
      </c>
      <c r="B5" s="5" t="inlineStr">
        <is>
          <t>Corporate / Wholesale</t>
        </is>
      </c>
      <c r="C5" s="6">
        <f>'1_PBT_Margin'!D6</f>
        <v/>
      </c>
      <c r="D5" s="7" t="inlineStr">
        <is>
          <t>PBT ÷ gross revenue</t>
        </is>
      </c>
      <c r="E5" s="7" t="inlineStr">
        <is>
          <t>1_PBT_Margin</t>
        </is>
      </c>
    </row>
    <row r="6">
      <c r="A6" s="4" t="inlineStr">
        <is>
          <t>1. Segment PBT Margin</t>
        </is>
      </c>
      <c r="B6" s="5" t="inlineStr">
        <is>
          <t>Retail (total)</t>
        </is>
      </c>
      <c r="C6" s="6">
        <f>'1_PBT_Margin'!D7</f>
        <v/>
      </c>
      <c r="D6" s="7" t="inlineStr">
        <is>
          <t>PBT ÷ gross revenue</t>
        </is>
      </c>
      <c r="E6" s="7" t="inlineStr">
        <is>
          <t>1_PBT_Margin</t>
        </is>
      </c>
    </row>
    <row r="7">
      <c r="A7" s="4" t="inlineStr">
        <is>
          <t>2. Credit Mix Share</t>
        </is>
      </c>
      <c r="B7" s="5" t="inlineStr">
        <is>
          <t>Retail</t>
        </is>
      </c>
      <c r="C7" s="6">
        <f>'2_Credit_Mix'!F6</f>
        <v/>
      </c>
      <c r="D7" s="7" t="inlineStr">
        <is>
          <t>Segment advances ÷ net advances</t>
        </is>
      </c>
      <c r="E7" s="7" t="inlineStr">
        <is>
          <t>2_Credit_Mix</t>
        </is>
      </c>
    </row>
    <row r="8">
      <c r="A8" s="4" t="inlineStr">
        <is>
          <t>2. Credit Mix Share</t>
        </is>
      </c>
      <c r="B8" s="5" t="inlineStr">
        <is>
          <t>Corporate</t>
        </is>
      </c>
      <c r="C8" s="6">
        <f>'2_Credit_Mix'!F7</f>
        <v/>
      </c>
      <c r="D8" s="7" t="inlineStr">
        <is>
          <t>Segment advances ÷ net advances</t>
        </is>
      </c>
      <c r="E8" s="7" t="inlineStr">
        <is>
          <t>2_Credit_Mix</t>
        </is>
      </c>
    </row>
    <row r="9">
      <c r="A9" s="4" t="inlineStr">
        <is>
          <t>2. Credit Mix Share</t>
        </is>
      </c>
      <c r="B9" s="5" t="inlineStr">
        <is>
          <t>SME</t>
        </is>
      </c>
      <c r="C9" s="6">
        <f>'2_Credit_Mix'!F8</f>
        <v/>
      </c>
      <c r="D9" s="7" t="inlineStr">
        <is>
          <t>Segment advances ÷ net advances</t>
        </is>
      </c>
      <c r="E9" s="7" t="inlineStr">
        <is>
          <t>2_Credit_Mix</t>
        </is>
      </c>
    </row>
    <row r="10">
      <c r="A10" s="4" t="inlineStr">
        <is>
          <t>3. CASA Ratio (MEB)</t>
        </is>
      </c>
      <c r="B10" s="5" t="inlineStr">
        <is>
          <t>Bank</t>
        </is>
      </c>
      <c r="C10" s="6">
        <f>'3_CASA'!C15</f>
        <v/>
      </c>
      <c r="D10" s="7" t="inlineStr">
        <is>
          <t>(SA + CA) ÷ total deposits</t>
        </is>
      </c>
      <c r="E10" s="7" t="inlineStr">
        <is>
          <t>3_CASA</t>
        </is>
      </c>
    </row>
    <row r="11">
      <c r="A11" s="4" t="inlineStr">
        <is>
          <t>4. Liabilities-to-Assets</t>
        </is>
      </c>
      <c r="B11" s="5" t="inlineStr">
        <is>
          <t>Retail (total)</t>
        </is>
      </c>
      <c r="C11" s="8">
        <f>'4_Liab_to_Assets'!D6</f>
        <v/>
      </c>
      <c r="D11" s="7" t="inlineStr">
        <is>
          <t>Liabilities ÷ assets</t>
        </is>
      </c>
      <c r="E11" s="7" t="inlineStr">
        <is>
          <t>4_Liab_to_Assets</t>
        </is>
      </c>
    </row>
    <row r="12">
      <c r="A12" s="4" t="inlineStr">
        <is>
          <t>4. Liabilities-to-Assets</t>
        </is>
      </c>
      <c r="B12" s="5" t="inlineStr">
        <is>
          <t>Corporate / Wholesale</t>
        </is>
      </c>
      <c r="C12" s="8">
        <f>'4_Liab_to_Assets'!D9</f>
        <v/>
      </c>
      <c r="D12" s="7" t="inlineStr">
        <is>
          <t>Liabilities ÷ assets</t>
        </is>
      </c>
      <c r="E12" s="7" t="inlineStr">
        <is>
          <t>4_Liab_to_Assets</t>
        </is>
      </c>
    </row>
    <row r="13">
      <c r="A13" s="4" t="inlineStr">
        <is>
          <t>5. Share of Gross Slippages</t>
        </is>
      </c>
      <c r="B13" s="5" t="inlineStr">
        <is>
          <t>Retail</t>
        </is>
      </c>
      <c r="C13" s="6">
        <f>'5_Asset_Stress'!F6</f>
        <v/>
      </c>
      <c r="D13" s="7" t="inlineStr">
        <is>
          <t>Segment ÷ bank gross slippages</t>
        </is>
      </c>
      <c r="E13" s="7" t="inlineStr">
        <is>
          <t>5_Asset_Stress</t>
        </is>
      </c>
    </row>
    <row r="15">
      <c r="A15" s="4" t="inlineStr">
        <is>
          <t>Segment comparison matrix →</t>
        </is>
      </c>
      <c r="E15" s="7" t="inlineStr">
        <is>
          <t>6_Segment_Matrix</t>
        </is>
      </c>
    </row>
    <row r="17">
      <c r="A17" s="9" t="inlineStr">
        <is>
          <t>Colour key: blue = hard-coded input from source files · black = formula · green = link to another sheet · yellow fill = headline ratio. All amounts in ₹ crore.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Ratio 1 · Segment PBT Margin — Q1FY27 (Standalone)</t>
        </is>
      </c>
    </row>
    <row r="2">
      <c r="A2" s="2" t="inlineStr">
        <is>
          <t>Formula: Segment Profit Before Tax ÷ Gross Segment Revenue × 100</t>
        </is>
      </c>
    </row>
    <row r="3">
      <c r="A3" s="2" t="inlineStr">
        <is>
          <t>Rupees of profit kept from every ₹100 of segment revenue (revenue includes internal FTP adjustments).</t>
        </is>
      </c>
    </row>
    <row r="5" ht="32" customHeight="1">
      <c r="A5" s="3" t="inlineStr">
        <is>
          <t>Segment</t>
        </is>
      </c>
      <c r="B5" s="3" t="inlineStr">
        <is>
          <t>Gross segment revenue (₹ cr)</t>
        </is>
      </c>
      <c r="C5" s="3" t="inlineStr">
        <is>
          <t>Segment PBT (₹ cr)</t>
        </is>
      </c>
      <c r="D5" s="3" t="inlineStr">
        <is>
          <t>PBT margin</t>
        </is>
      </c>
      <c r="E5" s="3" t="inlineStr">
        <is>
          <t>Source</t>
        </is>
      </c>
    </row>
    <row r="6">
      <c r="A6" s="5" t="inlineStr">
        <is>
          <t>Corporate / Wholesale</t>
        </is>
      </c>
      <c r="B6" s="10" t="n">
        <v>14167.5</v>
      </c>
      <c r="C6" s="10" t="n">
        <v>3358.26</v>
      </c>
      <c r="D6" s="11">
        <f>IF(B6=0,"",C6/B6)</f>
        <v/>
      </c>
      <c r="E6" s="12" t="inlineStr">
        <is>
          <t>Axis Bank Data file 1.pdf, p.5</t>
        </is>
      </c>
    </row>
    <row r="7">
      <c r="A7" s="5" t="inlineStr">
        <is>
          <t>Retail (total)</t>
        </is>
      </c>
      <c r="B7" s="10" t="n">
        <v>38269.3</v>
      </c>
      <c r="C7" s="10" t="n">
        <v>3565.52</v>
      </c>
      <c r="D7" s="11">
        <f>IF(B7=0,"",C7/B7)</f>
        <v/>
      </c>
      <c r="E7" s="12" t="inlineStr">
        <is>
          <t>Axis Bank Data file 1.pdf, p.5</t>
        </is>
      </c>
    </row>
    <row r="8">
      <c r="A8" s="5" t="inlineStr">
        <is>
          <t xml:space="preserve">   ↳ Digital Banking</t>
        </is>
      </c>
      <c r="B8" s="10" t="n">
        <v>10627.32</v>
      </c>
      <c r="C8" s="10" t="n">
        <v>1531.43</v>
      </c>
      <c r="D8" s="13">
        <f>IF(B8=0,"",C8/B8)</f>
        <v/>
      </c>
      <c r="E8" s="12" t="inlineStr">
        <is>
          <t>Axis Bank Data file 1.pdf, p.5</t>
        </is>
      </c>
    </row>
    <row r="9">
      <c r="A9" s="5" t="inlineStr">
        <is>
          <t xml:space="preserve">   ↳ Other Retail</t>
        </is>
      </c>
      <c r="B9" s="10" t="n">
        <v>27641.98</v>
      </c>
      <c r="C9" s="10" t="n">
        <v>2034.09</v>
      </c>
      <c r="D9" s="13">
        <f>IF(B9=0,"",C9/B9)</f>
        <v/>
      </c>
      <c r="E9" s="12" t="inlineStr">
        <is>
          <t>Axis Bank Data file 1.pdf, p.5</t>
        </is>
      </c>
    </row>
    <row r="10">
      <c r="A10" s="5" t="inlineStr">
        <is>
          <t>Treasury</t>
        </is>
      </c>
      <c r="B10" s="10" t="n">
        <v>8487.17</v>
      </c>
      <c r="C10" s="10" t="n">
        <v>1663.85</v>
      </c>
      <c r="D10" s="13">
        <f>IF(B10=0,"",C10/B10)</f>
        <v/>
      </c>
      <c r="E10" s="12" t="inlineStr">
        <is>
          <t>Axis Bank Data file 1.pdf, p.5</t>
        </is>
      </c>
    </row>
    <row r="11">
      <c r="A11" s="5" t="inlineStr">
        <is>
          <t>Other Banking Business</t>
        </is>
      </c>
      <c r="B11" s="10" t="n">
        <v>915.5700000000001</v>
      </c>
      <c r="C11" s="10" t="n">
        <v>848.9299999999999</v>
      </c>
      <c r="D11" s="13">
        <f>IF(B11=0,"",C11/B11)</f>
        <v/>
      </c>
      <c r="E11" s="12" t="inlineStr">
        <is>
          <t>Axis Bank Data file 1.pdf, p.5</t>
        </is>
      </c>
    </row>
    <row r="14">
      <c r="A14" s="4" t="inlineStr">
        <is>
          <t>Trend — PBT margin by quarter</t>
        </is>
      </c>
    </row>
    <row r="15" ht="32" customHeight="1">
      <c r="A15" s="3" t="inlineStr">
        <is>
          <t>Segment</t>
        </is>
      </c>
      <c r="B15" s="3" t="inlineStr">
        <is>
          <t>Revenue Q1FY26 (₹ cr)</t>
        </is>
      </c>
      <c r="C15" s="3" t="inlineStr">
        <is>
          <t>PBT Q1FY26 (₹ cr)</t>
        </is>
      </c>
      <c r="D15" s="3" t="inlineStr">
        <is>
          <t>Revenue Q4FY26 (₹ cr)</t>
        </is>
      </c>
      <c r="E15" s="3" t="inlineStr">
        <is>
          <t>PBT Q4FY26 (₹ cr)</t>
        </is>
      </c>
      <c r="F15" s="3" t="inlineStr">
        <is>
          <t>Revenue Q1FY27 (₹ cr)</t>
        </is>
      </c>
      <c r="G15" s="3" t="inlineStr">
        <is>
          <t>PBT Q1FY27 (₹ cr)</t>
        </is>
      </c>
      <c r="H15" s="3" t="inlineStr">
        <is>
          <t>Margin Q1FY26</t>
        </is>
      </c>
      <c r="I15" s="3" t="inlineStr">
        <is>
          <t>Margin Q4FY26</t>
        </is>
      </c>
      <c r="J15" s="3" t="inlineStr">
        <is>
          <t>Margin Q1FY27</t>
        </is>
      </c>
      <c r="K15" s="3" t="inlineStr">
        <is>
          <t>Δ Q1FY26→Q1FY27</t>
        </is>
      </c>
    </row>
    <row r="16">
      <c r="A16" s="5" t="inlineStr">
        <is>
          <t>Corporate / Wholesale</t>
        </is>
      </c>
      <c r="B16" s="10" t="n">
        <v>11806.71</v>
      </c>
      <c r="C16" s="10" t="n">
        <v>2737.21</v>
      </c>
      <c r="D16" s="10" t="n">
        <v>12913.54</v>
      </c>
      <c r="E16" s="10" t="n">
        <v>2139.85</v>
      </c>
      <c r="F16" s="10" t="n">
        <v>14167.5</v>
      </c>
      <c r="G16" s="10" t="n">
        <v>3358.26</v>
      </c>
      <c r="H16" s="13">
        <f>C16/B16</f>
        <v/>
      </c>
      <c r="I16" s="13">
        <f>E16/D16</f>
        <v/>
      </c>
      <c r="J16" s="13">
        <f>G16/F16</f>
        <v/>
      </c>
      <c r="K16" s="14">
        <f>(J16-H16)*100</f>
        <v/>
      </c>
    </row>
    <row r="17">
      <c r="A17" s="5" t="inlineStr">
        <is>
          <t>Retail (total)</t>
        </is>
      </c>
      <c r="B17" s="10" t="n">
        <v>35631.6</v>
      </c>
      <c r="C17" s="10" t="n">
        <v>1435.87</v>
      </c>
      <c r="D17" s="10" t="n">
        <v>36865.29</v>
      </c>
      <c r="E17" s="10" t="n">
        <v>2473.14</v>
      </c>
      <c r="F17" s="10" t="n">
        <v>38269.3</v>
      </c>
      <c r="G17" s="10" t="n">
        <v>3565.52</v>
      </c>
      <c r="H17" s="13">
        <f>C17/B17</f>
        <v/>
      </c>
      <c r="I17" s="13">
        <f>E17/D17</f>
        <v/>
      </c>
      <c r="J17" s="13">
        <f>G17/F17</f>
        <v/>
      </c>
      <c r="K17" s="14">
        <f>(J17-H17)*100</f>
        <v/>
      </c>
    </row>
    <row r="18">
      <c r="A18" s="5" t="inlineStr">
        <is>
          <t>Digital Banking</t>
        </is>
      </c>
      <c r="B18" s="10" t="n">
        <v>9405.360000000001</v>
      </c>
      <c r="C18" s="10" t="n">
        <v>576.45</v>
      </c>
      <c r="D18" s="10" t="n">
        <v>10302.66</v>
      </c>
      <c r="E18" s="10" t="n">
        <v>1340.41</v>
      </c>
      <c r="F18" s="10" t="n">
        <v>10627.32</v>
      </c>
      <c r="G18" s="10" t="n">
        <v>1531.43</v>
      </c>
      <c r="H18" s="13">
        <f>C18/B18</f>
        <v/>
      </c>
      <c r="I18" s="13">
        <f>E18/D18</f>
        <v/>
      </c>
      <c r="J18" s="13">
        <f>G18/F18</f>
        <v/>
      </c>
      <c r="K18" s="14">
        <f>(J18-H18)*100</f>
        <v/>
      </c>
    </row>
    <row r="19">
      <c r="A19" s="5" t="inlineStr">
        <is>
          <t>Other Retail</t>
        </is>
      </c>
      <c r="B19" s="10" t="n">
        <v>26226.24</v>
      </c>
      <c r="C19" s="10" t="n">
        <v>859.42</v>
      </c>
      <c r="D19" s="10" t="n">
        <v>26562.63</v>
      </c>
      <c r="E19" s="10" t="n">
        <v>1132.73</v>
      </c>
      <c r="F19" s="10" t="n">
        <v>27641.98</v>
      </c>
      <c r="G19" s="10" t="n">
        <v>2034.09</v>
      </c>
      <c r="H19" s="13">
        <f>C19/B19</f>
        <v/>
      </c>
      <c r="I19" s="13">
        <f>E19/D19</f>
        <v/>
      </c>
      <c r="J19" s="13">
        <f>G19/F19</f>
        <v/>
      </c>
      <c r="K19" s="14">
        <f>(J19-H19)*100</f>
        <v/>
      </c>
    </row>
    <row r="20">
      <c r="A20" s="5" t="inlineStr">
        <is>
          <t>Treasury</t>
        </is>
      </c>
      <c r="B20" s="10" t="n">
        <v>8419.719999999999</v>
      </c>
      <c r="C20" s="10" t="n">
        <v>2423.32</v>
      </c>
      <c r="D20" s="10" t="n">
        <v>7015.71</v>
      </c>
      <c r="E20" s="10" t="n">
        <v>303.32</v>
      </c>
      <c r="F20" s="10" t="n">
        <v>8487.17</v>
      </c>
      <c r="G20" s="10" t="n">
        <v>1663.85</v>
      </c>
      <c r="H20" s="13">
        <f>C20/B20</f>
        <v/>
      </c>
      <c r="I20" s="13">
        <f>E20/D20</f>
        <v/>
      </c>
      <c r="J20" s="13">
        <f>G20/F20</f>
        <v/>
      </c>
      <c r="K20" s="14">
        <f>(J20-H20)*100</f>
        <v/>
      </c>
    </row>
    <row r="22">
      <c r="A22" s="9" t="inlineStr">
        <is>
          <t>Margins use gross segment revenue (before inter-segment elimination), so they are not comparable with the bank's reported margins.</t>
        </is>
      </c>
    </row>
    <row r="23">
      <c r="A23" s="9" t="inlineStr">
        <is>
          <t>Colour key: blue = hard-coded input from source files · black = formula · green = link to another sheet · yellow fill = headline ratio. All amounts in ₹ crore.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44" customWidth="1" min="8" max="8"/>
  </cols>
  <sheetData>
    <row r="1">
      <c r="A1" s="1" t="inlineStr">
        <is>
          <t>Ratio 2 · Credit Mix Share — Jun-2026 vs Jun-2025</t>
        </is>
      </c>
    </row>
    <row r="2">
      <c r="A2" s="2" t="inlineStr">
        <is>
          <t>Formula: Segment Advances ÷ Total Bank Net Advances × 100</t>
        </is>
      </c>
    </row>
    <row r="3">
      <c r="A3" s="2" t="inlineStr">
        <is>
          <t>How much of the bank's total loan book (credit risk) is allocated to each customer profile.</t>
        </is>
      </c>
    </row>
    <row r="5" ht="32" customHeight="1">
      <c r="A5" s="3" t="inlineStr">
        <is>
          <t>Loan segment</t>
        </is>
      </c>
      <c r="B5" s="3" t="inlineStr">
        <is>
          <t>Advances Jun-2025 (₹ cr)</t>
        </is>
      </c>
      <c r="C5" s="3" t="inlineStr">
        <is>
          <t>Advances Jun-2026 (₹ cr)</t>
        </is>
      </c>
      <c r="D5" s="3" t="inlineStr">
        <is>
          <t>YoY growth</t>
        </is>
      </c>
      <c r="E5" s="3" t="inlineStr">
        <is>
          <t>Share Jun-2025</t>
        </is>
      </c>
      <c r="F5" s="3" t="inlineStr">
        <is>
          <t>Share Jun-2026</t>
        </is>
      </c>
      <c r="G5" s="3" t="inlineStr">
        <is>
          <t>Mix shift</t>
        </is>
      </c>
      <c r="H5" s="3" t="inlineStr">
        <is>
          <t>Source</t>
        </is>
      </c>
    </row>
    <row r="6">
      <c r="A6" s="5" t="inlineStr">
        <is>
          <t>Retail</t>
        </is>
      </c>
      <c r="B6" s="10" t="n">
        <v>622960</v>
      </c>
      <c r="C6" s="10" t="n">
        <v>675546</v>
      </c>
      <c r="D6" s="13">
        <f>C6/B6-1</f>
        <v/>
      </c>
      <c r="E6" s="13">
        <f>B6/B$9</f>
        <v/>
      </c>
      <c r="F6" s="11">
        <f>C6/C$9</f>
        <v/>
      </c>
      <c r="G6" s="14">
        <f>(F6-E6)*100</f>
        <v/>
      </c>
      <c r="H6" s="12" t="inlineStr">
        <is>
          <t>Axis Bank press release (additional metrics), p.8</t>
        </is>
      </c>
    </row>
    <row r="7">
      <c r="A7" s="5" t="inlineStr">
        <is>
          <t>Corporate</t>
        </is>
      </c>
      <c r="B7" s="10" t="n">
        <v>315892</v>
      </c>
      <c r="C7" s="10" t="n">
        <v>434392</v>
      </c>
      <c r="D7" s="13">
        <f>C7/B7-1</f>
        <v/>
      </c>
      <c r="E7" s="13">
        <f>B7/B$9</f>
        <v/>
      </c>
      <c r="F7" s="11">
        <f>C7/C$9</f>
        <v/>
      </c>
      <c r="G7" s="14">
        <f>(F7-E7)*100</f>
        <v/>
      </c>
      <c r="H7" s="12" t="inlineStr">
        <is>
          <t>Axis Bank press release (additional metrics), p.8</t>
        </is>
      </c>
    </row>
    <row r="8">
      <c r="A8" s="5" t="inlineStr">
        <is>
          <t>SME</t>
        </is>
      </c>
      <c r="B8" s="10" t="n">
        <v>120872</v>
      </c>
      <c r="C8" s="10" t="n">
        <v>151619</v>
      </c>
      <c r="D8" s="13">
        <f>C8/B8-1</f>
        <v/>
      </c>
      <c r="E8" s="13">
        <f>B8/B$9</f>
        <v/>
      </c>
      <c r="F8" s="11">
        <f>C8/C$9</f>
        <v/>
      </c>
      <c r="G8" s="14">
        <f>(F8-E8)*100</f>
        <v/>
      </c>
      <c r="H8" s="12" t="inlineStr">
        <is>
          <t>Axis Bank press release (additional metrics), p.8</t>
        </is>
      </c>
    </row>
    <row r="9">
      <c r="A9" s="4" t="inlineStr">
        <is>
          <t>Total net advances</t>
        </is>
      </c>
      <c r="B9" s="15">
        <f>SUM(B6:B8)</f>
        <v/>
      </c>
      <c r="C9" s="15">
        <f>SUM(C6:C8)</f>
        <v/>
      </c>
      <c r="D9" s="16">
        <f>C9/B9-1</f>
        <v/>
      </c>
      <c r="E9" s="16">
        <f>SUM(E6:E8)</f>
        <v/>
      </c>
      <c r="F9" s="16">
        <f>SUM(F6:F8)</f>
        <v/>
      </c>
    </row>
    <row r="10">
      <c r="A10" s="5" t="inlineStr">
        <is>
          <t>Reported net advances (check)</t>
        </is>
      </c>
      <c r="B10" s="10" t="n">
        <v>1059724</v>
      </c>
      <c r="C10" s="10" t="n">
        <v>1261557</v>
      </c>
    </row>
    <row r="11">
      <c r="A11" s="5" t="inlineStr">
        <is>
          <t>Difference (should be 0)</t>
        </is>
      </c>
      <c r="B11" s="17">
        <f>B9-B10</f>
        <v/>
      </c>
      <c r="C11" s="17">
        <f>C9-C10</f>
        <v/>
      </c>
    </row>
    <row r="13">
      <c r="A13" s="9" t="inlineStr">
        <is>
          <t>Colour key: blue = hard-coded input from source files · black = formula · green = link to another sheet · yellow fill = headline ratio. All amounts in ₹ crore.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44" customWidth="1" min="5" max="5"/>
  </cols>
  <sheetData>
    <row r="1">
      <c r="A1" s="1" t="inlineStr">
        <is>
          <t>Ratio 3 · CASA Ratio (month-end balance basis)</t>
        </is>
      </c>
    </row>
    <row r="2">
      <c r="A2" s="2" t="inlineStr">
        <is>
          <t>Formula: CASA Deposits (Savings + Current Accounts) ÷ Total Deposits × 100</t>
        </is>
      </c>
    </row>
    <row r="3">
      <c r="A3" s="2" t="inlineStr">
        <is>
          <t>Funding quality — share of low-cost, sticky relationship deposits vs expensive term deposits.</t>
        </is>
      </c>
    </row>
    <row r="5" ht="32" customHeight="1">
      <c r="A5" s="3" t="inlineStr">
        <is>
          <t>Deposit line (month-end, ₹ cr)</t>
        </is>
      </c>
      <c r="B5" s="3" t="inlineStr">
        <is>
          <t>Jun-2025</t>
        </is>
      </c>
      <c r="C5" s="3" t="inlineStr">
        <is>
          <t>Jun-2026</t>
        </is>
      </c>
      <c r="D5" s="3" t="inlineStr">
        <is>
          <t>YoY growth</t>
        </is>
      </c>
      <c r="E5" s="3" t="inlineStr">
        <is>
          <t>Source</t>
        </is>
      </c>
    </row>
    <row r="6">
      <c r="A6" s="5" t="inlineStr">
        <is>
          <t>Savings Bank deposits (SA)</t>
        </is>
      </c>
      <c r="B6" s="10" t="n">
        <v>305133</v>
      </c>
      <c r="C6" s="10" t="n">
        <v>348312</v>
      </c>
      <c r="D6" s="13">
        <f>C6/B6-1</f>
        <v/>
      </c>
      <c r="E6" s="12" t="inlineStr">
        <is>
          <t>Axis Bank press release (additional metrics), p.8</t>
        </is>
      </c>
    </row>
    <row r="7">
      <c r="A7" s="5" t="inlineStr">
        <is>
          <t>Current Account deposits (CA)</t>
        </is>
      </c>
      <c r="B7" s="10" t="n">
        <v>163033</v>
      </c>
      <c r="C7" s="10" t="n">
        <v>173386</v>
      </c>
      <c r="D7" s="13">
        <f>C7/B7-1</f>
        <v/>
      </c>
      <c r="E7" s="12" t="inlineStr">
        <is>
          <t>Axis Bank press release (additional metrics), p.8</t>
        </is>
      </c>
    </row>
    <row r="8">
      <c r="A8" s="4" t="inlineStr">
        <is>
          <t>CASA deposits</t>
        </is>
      </c>
      <c r="B8" s="15">
        <f>B6+B7</f>
        <v/>
      </c>
      <c r="C8" s="15">
        <f>C6+C7</f>
        <v/>
      </c>
      <c r="D8" s="13">
        <f>C8/B8-1</f>
        <v/>
      </c>
    </row>
    <row r="9">
      <c r="A9" s="5" t="inlineStr">
        <is>
          <t>Term deposits</t>
        </is>
      </c>
      <c r="B9" s="10" t="n">
        <v>693449</v>
      </c>
      <c r="C9" s="10" t="n">
        <v>851238</v>
      </c>
      <c r="D9" s="13">
        <f>C9/B9-1</f>
        <v/>
      </c>
      <c r="E9" s="12" t="inlineStr">
        <is>
          <t>Axis Bank press release (additional metrics), p.8</t>
        </is>
      </c>
    </row>
    <row r="10">
      <c r="A10" s="4" t="inlineStr">
        <is>
          <t>Total deposits</t>
        </is>
      </c>
      <c r="B10" s="15">
        <f>B8+B9</f>
        <v/>
      </c>
      <c r="C10" s="15">
        <f>C8+C9</f>
        <v/>
      </c>
      <c r="D10" s="13">
        <f>C10/B10-1</f>
        <v/>
      </c>
    </row>
    <row r="11">
      <c r="A11" s="5" t="inlineStr">
        <is>
          <t>Reported total deposits (check)</t>
        </is>
      </c>
      <c r="B11" s="10" t="n">
        <v>1161615</v>
      </c>
      <c r="C11" s="10" t="n">
        <v>1372936</v>
      </c>
    </row>
    <row r="12">
      <c r="A12" s="5" t="inlineStr">
        <is>
          <t>Difference (should be 0)</t>
        </is>
      </c>
      <c r="B12" s="17">
        <f>B10-B11</f>
        <v/>
      </c>
      <c r="C12" s="17">
        <f>C10-C11</f>
        <v/>
      </c>
    </row>
    <row r="14" ht="32" customHeight="1">
      <c r="A14" s="3" t="inlineStr">
        <is>
          <t>Ratio</t>
        </is>
      </c>
      <c r="B14" s="3" t="inlineStr">
        <is>
          <t>Jun-2025</t>
        </is>
      </c>
      <c r="C14" s="3" t="inlineStr">
        <is>
          <t>Jun-2026</t>
        </is>
      </c>
      <c r="D14" s="3" t="inlineStr">
        <is>
          <t>Change</t>
        </is>
      </c>
      <c r="E14" s="3" t="inlineStr"/>
    </row>
    <row r="15">
      <c r="A15" s="4" t="inlineStr">
        <is>
          <t>CASA ratio</t>
        </is>
      </c>
      <c r="B15" s="16">
        <f>B8/B$10</f>
        <v/>
      </c>
      <c r="C15" s="11">
        <f>C8/C$10</f>
        <v/>
      </c>
      <c r="D15" s="14">
        <f>(C15-B15)*100</f>
        <v/>
      </c>
    </row>
    <row r="16">
      <c r="A16" s="5" t="inlineStr">
        <is>
          <t>Savings share of deposits</t>
        </is>
      </c>
      <c r="B16" s="13">
        <f>B6/B$10</f>
        <v/>
      </c>
      <c r="C16" s="13">
        <f>C6/C$10</f>
        <v/>
      </c>
      <c r="D16" s="14">
        <f>(C16-B16)*100</f>
        <v/>
      </c>
    </row>
    <row r="17">
      <c r="A17" s="5" t="inlineStr">
        <is>
          <t>Current account share of deposits</t>
        </is>
      </c>
      <c r="B17" s="13">
        <f>B7/B$10</f>
        <v/>
      </c>
      <c r="C17" s="13">
        <f>C7/C$10</f>
        <v/>
      </c>
      <c r="D17" s="14">
        <f>(C17-B17)*100</f>
        <v/>
      </c>
    </row>
    <row r="18">
      <c r="A18" s="5" t="inlineStr">
        <is>
          <t>Term deposit share</t>
        </is>
      </c>
      <c r="B18" s="13">
        <f>B9/B$10</f>
        <v/>
      </c>
      <c r="C18" s="13">
        <f>C9/C$10</f>
        <v/>
      </c>
      <c r="D18" s="14">
        <f>(C18-B18)*100</f>
        <v/>
      </c>
    </row>
    <row r="20">
      <c r="A20" s="9" t="inlineStr">
        <is>
          <t>Month-end balance (MEB) basis. The bank also reports CASA on a quarterly-average (QAB) basis (~37% for Q1FY27); do not mix the two.</t>
        </is>
      </c>
    </row>
    <row r="21">
      <c r="A21" s="9" t="inlineStr">
        <is>
          <t>Colour key: blue = hard-coded input from source files · black = formula · green = link to another sheet · yellow fill = headline ratio. All amounts in ₹ crore.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  <col width="22" customWidth="1" min="6" max="6"/>
    <col width="18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Ratio 4 · Liabilities-to-Assets — Q1FY27 (Standalone)</t>
        </is>
      </c>
    </row>
    <row r="2">
      <c r="A2" s="2" t="inlineStr">
        <is>
          <t>Formula: Segment Liabilities ÷ Segment Assets</t>
        </is>
      </c>
    </row>
    <row r="3">
      <c r="A3" s="2" t="inlineStr">
        <is>
          <t>Funding dependency: &gt;1.0x = segment raises more deposits than it lends (provider); &lt;1.0x = uses the bank's liquidity (user).</t>
        </is>
      </c>
    </row>
    <row r="5" ht="32" customHeight="1">
      <c r="A5" s="3" t="inlineStr">
        <is>
          <t>Segment</t>
        </is>
      </c>
      <c r="B5" s="3" t="inlineStr">
        <is>
          <t>Segment assets (₹ cr)</t>
        </is>
      </c>
      <c r="C5" s="3" t="inlineStr">
        <is>
          <t>Segment liabilities (₹ cr)</t>
        </is>
      </c>
      <c r="D5" s="3" t="inlineStr">
        <is>
          <t>Liabilities ÷ assets</t>
        </is>
      </c>
      <c r="E5" s="3" t="inlineStr">
        <is>
          <t>Net funding position (₹ cr)</t>
        </is>
      </c>
      <c r="F5" s="3" t="inlineStr">
        <is>
          <t>Funding role</t>
        </is>
      </c>
      <c r="G5" s="3" t="inlineStr">
        <is>
          <t>Source</t>
        </is>
      </c>
    </row>
    <row r="6">
      <c r="A6" s="5" t="inlineStr">
        <is>
          <t>Retail (total)</t>
        </is>
      </c>
      <c r="B6" s="10" t="n">
        <v>686713.79</v>
      </c>
      <c r="C6" s="10" t="n">
        <v>1131328.33</v>
      </c>
      <c r="D6" s="18">
        <f>C6/B6</f>
        <v/>
      </c>
      <c r="E6" s="17">
        <f>C6-B6</f>
        <v/>
      </c>
      <c r="F6" s="5">
        <f>IF(D6&gt;1,"Net liquidity provider","Net liquidity user")</f>
        <v/>
      </c>
      <c r="G6" s="12" t="inlineStr">
        <is>
          <t>Axis Bank Data file 1.pdf, p.5</t>
        </is>
      </c>
    </row>
    <row r="7">
      <c r="A7" s="5" t="inlineStr">
        <is>
          <t xml:space="preserve">   ↳ Digital Banking</t>
        </is>
      </c>
      <c r="B7" s="10" t="n">
        <v>153578.3</v>
      </c>
      <c r="C7" s="10" t="n">
        <v>230504.61</v>
      </c>
      <c r="D7" s="19">
        <f>C7/B7</f>
        <v/>
      </c>
      <c r="E7" s="17">
        <f>C7-B7</f>
        <v/>
      </c>
      <c r="F7" s="5">
        <f>IF(D7&gt;1,"Net liquidity provider","Net liquidity user")</f>
        <v/>
      </c>
      <c r="G7" s="12" t="inlineStr">
        <is>
          <t>Axis Bank Data file 1.pdf, p.5</t>
        </is>
      </c>
    </row>
    <row r="8">
      <c r="A8" s="5" t="inlineStr">
        <is>
          <t xml:space="preserve">   ↳ Other Retail</t>
        </is>
      </c>
      <c r="B8" s="10" t="n">
        <v>533135.49</v>
      </c>
      <c r="C8" s="10" t="n">
        <v>900823.72</v>
      </c>
      <c r="D8" s="19">
        <f>C8/B8</f>
        <v/>
      </c>
      <c r="E8" s="17">
        <f>C8-B8</f>
        <v/>
      </c>
      <c r="F8" s="5">
        <f>IF(D8&gt;1,"Net liquidity provider","Net liquidity user")</f>
        <v/>
      </c>
      <c r="G8" s="12" t="inlineStr">
        <is>
          <t>Axis Bank Data file 1.pdf, p.5</t>
        </is>
      </c>
    </row>
    <row r="9">
      <c r="A9" s="5" t="inlineStr">
        <is>
          <t>Corporate / Wholesale</t>
        </is>
      </c>
      <c r="B9" s="10" t="n">
        <v>598488.96</v>
      </c>
      <c r="C9" s="10" t="n">
        <v>237696.61</v>
      </c>
      <c r="D9" s="18">
        <f>C9/B9</f>
        <v/>
      </c>
      <c r="E9" s="17">
        <f>C9-B9</f>
        <v/>
      </c>
      <c r="F9" s="5">
        <f>IF(D9&gt;1,"Net liquidity provider","Net liquidity user")</f>
        <v/>
      </c>
      <c r="G9" s="12" t="inlineStr">
        <is>
          <t>Axis Bank Data file 1.pdf, p.5</t>
        </is>
      </c>
    </row>
    <row r="10">
      <c r="A10" s="5" t="inlineStr">
        <is>
          <t>Treasury</t>
        </is>
      </c>
      <c r="B10" s="10" t="n">
        <v>626906.76</v>
      </c>
      <c r="C10" s="10" t="n">
        <v>332810.15</v>
      </c>
      <c r="D10" s="19">
        <f>C10/B10</f>
        <v/>
      </c>
      <c r="E10" s="17">
        <f>C10-B10</f>
        <v/>
      </c>
      <c r="F10" s="5">
        <f>IF(D10&gt;1,"Net liquidity provider","Net liquidity user")</f>
        <v/>
      </c>
      <c r="G10" s="12" t="inlineStr">
        <is>
          <t>Axis Bank Data file 1.pdf, p.5</t>
        </is>
      </c>
    </row>
    <row r="11">
      <c r="A11" s="5" t="inlineStr">
        <is>
          <t>Other Banking Business</t>
        </is>
      </c>
      <c r="B11" s="10" t="n">
        <v>1064.84</v>
      </c>
      <c r="C11" s="10" t="n">
        <v>37.07</v>
      </c>
      <c r="D11" s="19">
        <f>C11/B11</f>
        <v/>
      </c>
      <c r="E11" s="17">
        <f>C11-B11</f>
        <v/>
      </c>
      <c r="F11" s="5">
        <f>IF(D11&gt;1,"Net liquidity provider","Net liquidity user")</f>
        <v/>
      </c>
      <c r="G11" s="12" t="inlineStr">
        <is>
          <t>Axis Bank Data file 1.pdf, p.5</t>
        </is>
      </c>
    </row>
    <row r="13">
      <c r="A13" s="4" t="inlineStr">
        <is>
          <t>Retail surplus ÷ Corporate funding gap</t>
        </is>
      </c>
      <c r="D13" s="20">
        <f>E6/-E9</f>
        <v/>
      </c>
    </row>
    <row r="15">
      <c r="A15" s="4" t="inlineStr">
        <is>
          <t>Trend — liabilities-to-assets by quarter</t>
        </is>
      </c>
    </row>
    <row r="16" ht="32" customHeight="1">
      <c r="A16" s="3" t="inlineStr">
        <is>
          <t>Segment</t>
        </is>
      </c>
      <c r="B16" s="3" t="inlineStr">
        <is>
          <t>Assets Q1FY26 (₹ cr)</t>
        </is>
      </c>
      <c r="C16" s="3" t="inlineStr">
        <is>
          <t>Liabilities Q1FY26 (₹ cr)</t>
        </is>
      </c>
      <c r="D16" s="3" t="inlineStr">
        <is>
          <t>Assets Q4FY26 (₹ cr)</t>
        </is>
      </c>
      <c r="E16" s="3" t="inlineStr">
        <is>
          <t>Liabilities Q4FY26 (₹ cr)</t>
        </is>
      </c>
      <c r="F16" s="3" t="inlineStr">
        <is>
          <t>Assets Q1FY27 (₹ cr)</t>
        </is>
      </c>
      <c r="G16" s="3" t="inlineStr">
        <is>
          <t>Liabilities Q1FY27 (₹ cr)</t>
        </is>
      </c>
      <c r="H16" s="3" t="inlineStr">
        <is>
          <t>L/A Q1FY26</t>
        </is>
      </c>
      <c r="I16" s="3" t="inlineStr">
        <is>
          <t>L/A Q4FY26</t>
        </is>
      </c>
      <c r="J16" s="3" t="inlineStr">
        <is>
          <t>L/A Q1FY27</t>
        </is>
      </c>
    </row>
    <row r="17">
      <c r="A17" s="5" t="inlineStr">
        <is>
          <t>Retail (total)</t>
        </is>
      </c>
      <c r="B17" s="10" t="n">
        <v>637810.14</v>
      </c>
      <c r="C17" s="10" t="n">
        <v>925882.23</v>
      </c>
      <c r="D17" s="10" t="n">
        <v>686599.21</v>
      </c>
      <c r="E17" s="10" t="n">
        <v>1077946.76</v>
      </c>
      <c r="F17" s="10" t="n">
        <v>686713.79</v>
      </c>
      <c r="G17" s="10" t="n">
        <v>1131328.33</v>
      </c>
      <c r="H17" s="19">
        <f>C17/B17</f>
        <v/>
      </c>
      <c r="I17" s="19">
        <f>E17/D17</f>
        <v/>
      </c>
      <c r="J17" s="19">
        <f>G17/F17</f>
        <v/>
      </c>
    </row>
    <row r="18">
      <c r="A18" s="5" t="inlineStr">
        <is>
          <t>Corporate / Wholesale</t>
        </is>
      </c>
      <c r="B18" s="10" t="n">
        <v>447232.12</v>
      </c>
      <c r="C18" s="10" t="n">
        <v>219843.64</v>
      </c>
      <c r="D18" s="10" t="n">
        <v>571029.14</v>
      </c>
      <c r="E18" s="10" t="n">
        <v>254472.26</v>
      </c>
      <c r="F18" s="10" t="n">
        <v>598488.96</v>
      </c>
      <c r="G18" s="10" t="n">
        <v>237696.61</v>
      </c>
      <c r="H18" s="19">
        <f>C18/B18</f>
        <v/>
      </c>
      <c r="I18" s="19">
        <f>E18/D18</f>
        <v/>
      </c>
      <c r="J18" s="19">
        <f>G18/F18</f>
        <v/>
      </c>
    </row>
    <row r="19">
      <c r="A19" s="5" t="inlineStr">
        <is>
          <t>Treasury</t>
        </is>
      </c>
      <c r="B19" s="10" t="n">
        <v>510734.13</v>
      </c>
      <c r="C19" s="10" t="n">
        <v>264326.67</v>
      </c>
      <c r="D19" s="10" t="n">
        <v>619567.76</v>
      </c>
      <c r="E19" s="10" t="n">
        <v>342691.86</v>
      </c>
      <c r="F19" s="10" t="n">
        <v>626906.76</v>
      </c>
      <c r="G19" s="10" t="n">
        <v>332810.15</v>
      </c>
      <c r="H19" s="19">
        <f>C19/B19</f>
        <v/>
      </c>
      <c r="I19" s="19">
        <f>E19/D19</f>
        <v/>
      </c>
      <c r="J19" s="19">
        <f>G19/F19</f>
        <v/>
      </c>
    </row>
    <row r="21">
      <c r="A21" s="9" t="inlineStr">
        <is>
          <t>Colour key: blue = hard-coded input from source files · black = formula · green = link to another sheet · yellow fill = headline ratio. All amounts in ₹ crore.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4" customWidth="1" min="8" max="8"/>
    <col width="18" customWidth="1" min="9" max="9"/>
    <col width="36" customWidth="1" min="10" max="10"/>
  </cols>
  <sheetData>
    <row r="1">
      <c r="A1" s="1" t="inlineStr">
        <is>
          <t>Ratio 5 · Segment Contribution to Total Asset Stress — Q1FY27</t>
        </is>
      </c>
    </row>
    <row r="2">
      <c r="A2" s="2" t="inlineStr">
        <is>
          <t>Formula: Segment Gross Slippages ÷ Total Bank Gross Slippages × 100</t>
        </is>
      </c>
    </row>
    <row r="3">
      <c r="A3" s="2" t="inlineStr">
        <is>
          <t>Which customer segment generated the fresh loan defaults (slippages) during the quarter.</t>
        </is>
      </c>
    </row>
    <row r="5" ht="32" customHeight="1">
      <c r="A5" s="3" t="inlineStr">
        <is>
          <t>Slippage segment (earnings call)</t>
        </is>
      </c>
      <c r="B5" s="3" t="inlineStr">
        <is>
          <t>Mapped loan bucket</t>
        </is>
      </c>
      <c r="C5" s="3" t="inlineStr">
        <is>
          <t>Gross slippages (₹ cr)</t>
        </is>
      </c>
      <c r="D5" s="3" t="inlineStr">
        <is>
          <t>Net slippages (₹ cr)</t>
        </is>
      </c>
      <c r="E5" s="3" t="inlineStr">
        <is>
          <t>Advances Jun-2026 (₹ cr)</t>
        </is>
      </c>
      <c r="F5" s="3" t="inlineStr">
        <is>
          <t>Share of gross slippages</t>
        </is>
      </c>
      <c r="G5" s="3" t="inlineStr">
        <is>
          <t>Share of net slippages</t>
        </is>
      </c>
      <c r="H5" s="3" t="inlineStr">
        <is>
          <t>Share of loans</t>
        </is>
      </c>
      <c r="I5" s="3" t="inlineStr">
        <is>
          <t>Gross slippage rate (annualised)</t>
        </is>
      </c>
      <c r="J5" s="3" t="inlineStr">
        <is>
          <t>Source</t>
        </is>
      </c>
    </row>
    <row r="6">
      <c r="A6" s="5" t="inlineStr">
        <is>
          <t>Retail</t>
        </is>
      </c>
      <c r="B6" s="5" t="inlineStr">
        <is>
          <t>Retail</t>
        </is>
      </c>
      <c r="C6" s="10" t="n">
        <v>5176</v>
      </c>
      <c r="D6" s="10" t="n">
        <v>3204</v>
      </c>
      <c r="E6" s="21">
        <f>'2_Credit_Mix'!C6</f>
        <v/>
      </c>
      <c r="F6" s="11">
        <f>C6/C$9</f>
        <v/>
      </c>
      <c r="G6" s="13">
        <f>D6/D$9</f>
        <v/>
      </c>
      <c r="H6" s="13">
        <f>E6/E$9</f>
        <v/>
      </c>
      <c r="I6" s="13">
        <f>C6*4/E6</f>
        <v/>
      </c>
      <c r="J6" s="12" t="inlineStr">
        <is>
          <t>Axis Bank earnings call data, p.7</t>
        </is>
      </c>
    </row>
    <row r="7">
      <c r="A7" s="5" t="inlineStr">
        <is>
          <t>CBG</t>
        </is>
      </c>
      <c r="B7" s="5" t="inlineStr">
        <is>
          <t>SME</t>
        </is>
      </c>
      <c r="C7" s="10" t="n">
        <v>266</v>
      </c>
      <c r="D7" s="10" t="n">
        <v>210</v>
      </c>
      <c r="E7" s="21">
        <f>'2_Credit_Mix'!C8</f>
        <v/>
      </c>
      <c r="F7" s="13">
        <f>C7/C$9</f>
        <v/>
      </c>
      <c r="G7" s="13">
        <f>D7/D$9</f>
        <v/>
      </c>
      <c r="H7" s="13">
        <f>E7/E$9</f>
        <v/>
      </c>
      <c r="I7" s="13">
        <f>C7*4/E7</f>
        <v/>
      </c>
      <c r="J7" s="12" t="inlineStr">
        <is>
          <t>Axis Bank earnings call data, p.7</t>
        </is>
      </c>
    </row>
    <row r="8">
      <c r="A8" s="5" t="inlineStr">
        <is>
          <t>Wholesale (WBCG)</t>
        </is>
      </c>
      <c r="B8" s="5" t="inlineStr">
        <is>
          <t>Corporate</t>
        </is>
      </c>
      <c r="C8" s="10" t="n">
        <v>124</v>
      </c>
      <c r="D8" s="10" t="n">
        <v>26</v>
      </c>
      <c r="E8" s="21">
        <f>'2_Credit_Mix'!C7</f>
        <v/>
      </c>
      <c r="F8" s="13">
        <f>C8/C$9</f>
        <v/>
      </c>
      <c r="G8" s="13">
        <f>D8/D$9</f>
        <v/>
      </c>
      <c r="H8" s="13">
        <f>E8/E$9</f>
        <v/>
      </c>
      <c r="I8" s="13">
        <f>C8*4/E8</f>
        <v/>
      </c>
      <c r="J8" s="12" t="inlineStr">
        <is>
          <t>Axis Bank earnings call data, p.7</t>
        </is>
      </c>
    </row>
    <row r="9">
      <c r="A9" s="4" t="inlineStr">
        <is>
          <t>Total</t>
        </is>
      </c>
      <c r="C9" s="15">
        <f>SUM(C6:C8)</f>
        <v/>
      </c>
      <c r="D9" s="15">
        <f>SUM(D6:D8)</f>
        <v/>
      </c>
      <c r="E9" s="15">
        <f>SUM(E6:E8)</f>
        <v/>
      </c>
      <c r="F9" s="16">
        <f>SUM(F6:F8)</f>
        <v/>
      </c>
      <c r="G9" s="16">
        <f>SUM(G6:G8)</f>
        <v/>
      </c>
      <c r="H9" s="16">
        <f>SUM(H6:H8)</f>
        <v/>
      </c>
      <c r="I9" s="16">
        <f>C9*4/E9</f>
        <v/>
      </c>
    </row>
    <row r="10">
      <c r="A10" s="5" t="inlineStr">
        <is>
          <t>Reported bank slippages (check)</t>
        </is>
      </c>
      <c r="C10" s="10" t="n">
        <v>5566</v>
      </c>
      <c r="D10" s="10" t="n">
        <v>3440</v>
      </c>
    </row>
    <row r="11">
      <c r="A11" s="5" t="inlineStr">
        <is>
          <t>Difference (should be 0)</t>
        </is>
      </c>
      <c r="C11" s="17">
        <f>C9-C10</f>
        <v/>
      </c>
      <c r="D11" s="17">
        <f>D9-D10</f>
        <v/>
      </c>
    </row>
    <row r="13">
      <c r="A13" s="9" t="inlineStr">
        <is>
          <t>Mapping CBG→SME and WBCG→Corporate is approximate; treat slippage rates as indicative. Rate = quarterly slippages × 4 ÷ period-end advances.</t>
        </is>
      </c>
    </row>
    <row r="14">
      <c r="A14" s="9" t="inlineStr">
        <is>
          <t>Colour key: blue = hard-coded input from source files · black = formula · green = link to another sheet · yellow fill = headline ratio. All amounts in ₹ crore.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22" customWidth="1" min="8" max="8"/>
  </cols>
  <sheetData>
    <row r="1">
      <c r="A1" s="1" t="inlineStr">
        <is>
          <t>Segment Comparison Matrix — Q1FY27 (Standalone)</t>
        </is>
      </c>
    </row>
    <row r="2">
      <c r="A2" s="2" t="inlineStr">
        <is>
          <t>Formula: Inputs (blue) feed every metric below; each metric row is colour-scaled across segments</t>
        </is>
      </c>
    </row>
    <row r="3">
      <c r="A3" s="2" t="inlineStr">
        <is>
          <t>Green = best and red = worst on that metric, using the 'Better if' direction. Uncoloured rows are descriptive.</t>
        </is>
      </c>
    </row>
    <row r="5" ht="32" customHeight="1">
      <c r="A5" s="3" t="inlineStr">
        <is>
          <t>Inputs (₹ cr)</t>
        </is>
      </c>
      <c r="B5" s="3" t="inlineStr">
        <is>
          <t>Corporate / Wholesale</t>
        </is>
      </c>
      <c r="C5" s="3" t="inlineStr">
        <is>
          <t>Retail (total)</t>
        </is>
      </c>
      <c r="D5" s="3" t="inlineStr">
        <is>
          <t>Digital Banking</t>
        </is>
      </c>
      <c r="E5" s="3" t="inlineStr">
        <is>
          <t>Other Retail</t>
        </is>
      </c>
      <c r="F5" s="3" t="inlineStr">
        <is>
          <t>Treasury</t>
        </is>
      </c>
      <c r="G5" s="3" t="inlineStr">
        <is>
          <t>Bank total</t>
        </is>
      </c>
      <c r="H5" s="3" t="inlineStr">
        <is>
          <t>Source</t>
        </is>
      </c>
    </row>
    <row r="6">
      <c r="A6" s="5" t="inlineStr">
        <is>
          <t>Gross segment revenue</t>
        </is>
      </c>
      <c r="B6" s="10" t="n">
        <v>14167.5</v>
      </c>
      <c r="C6" s="10" t="n">
        <v>38269.3</v>
      </c>
      <c r="D6" s="10" t="n">
        <v>10627.32</v>
      </c>
      <c r="E6" s="10" t="n">
        <v>27641.98</v>
      </c>
      <c r="F6" s="10" t="n">
        <v>8487.17</v>
      </c>
      <c r="G6" s="10" t="n">
        <v>61839.54</v>
      </c>
      <c r="H6" s="12" t="inlineStr">
        <is>
          <t>Data file 1, p.5</t>
        </is>
      </c>
    </row>
    <row r="7">
      <c r="A7" s="5" t="inlineStr">
        <is>
          <t>Segment PBT</t>
        </is>
      </c>
      <c r="B7" s="10" t="n">
        <v>3358.26</v>
      </c>
      <c r="C7" s="10" t="n">
        <v>3565.52</v>
      </c>
      <c r="D7" s="10" t="n">
        <v>1531.43</v>
      </c>
      <c r="E7" s="10" t="n">
        <v>2034.09</v>
      </c>
      <c r="F7" s="10" t="n">
        <v>1663.85</v>
      </c>
      <c r="G7" s="10" t="n">
        <v>9436.559999999999</v>
      </c>
      <c r="H7" s="12" t="inlineStr">
        <is>
          <t>Data file 1, p.5</t>
        </is>
      </c>
    </row>
    <row r="8">
      <c r="A8" s="5" t="inlineStr">
        <is>
          <t>Segment assets</t>
        </is>
      </c>
      <c r="B8" s="10" t="n">
        <v>598488.96</v>
      </c>
      <c r="C8" s="10" t="n">
        <v>686713.79</v>
      </c>
      <c r="D8" s="10" t="n">
        <v>153578.3</v>
      </c>
      <c r="E8" s="10" t="n">
        <v>533135.49</v>
      </c>
      <c r="F8" s="10" t="n">
        <v>626906.76</v>
      </c>
      <c r="G8" s="10" t="n">
        <v>1921966.17</v>
      </c>
      <c r="H8" s="12" t="inlineStr">
        <is>
          <t>Data file 1, p.5</t>
        </is>
      </c>
    </row>
    <row r="9">
      <c r="A9" s="5" t="inlineStr">
        <is>
          <t>Segment liabilities</t>
        </is>
      </c>
      <c r="B9" s="10" t="n">
        <v>237696.61</v>
      </c>
      <c r="C9" s="10" t="n">
        <v>1131328.33</v>
      </c>
      <c r="D9" s="10" t="n">
        <v>230504.61</v>
      </c>
      <c r="E9" s="10" t="n">
        <v>900823.72</v>
      </c>
      <c r="F9" s="10" t="n">
        <v>332810.15</v>
      </c>
      <c r="G9" s="10" t="n">
        <v>1710272.78</v>
      </c>
      <c r="H9" s="12" t="inlineStr">
        <is>
          <t>Data file 1, p.5</t>
        </is>
      </c>
    </row>
    <row r="10">
      <c r="A10" s="5" t="inlineStr">
        <is>
          <t>Gross segment revenue Q1FY26</t>
        </is>
      </c>
      <c r="B10" s="10" t="n">
        <v>11806.71</v>
      </c>
      <c r="C10" s="10" t="n">
        <v>35631.6</v>
      </c>
      <c r="D10" s="10" t="n">
        <v>9405.360000000001</v>
      </c>
      <c r="E10" s="10" t="n">
        <v>26226.24</v>
      </c>
      <c r="F10" s="10" t="n">
        <v>8419.719999999999</v>
      </c>
      <c r="G10" s="10" t="n">
        <v>56915.5</v>
      </c>
      <c r="H10" s="12" t="inlineStr">
        <is>
          <t>Data file 1, p.5</t>
        </is>
      </c>
    </row>
    <row r="11">
      <c r="A11" s="5" t="inlineStr">
        <is>
          <t>Segment PBT Q1FY26</t>
        </is>
      </c>
      <c r="B11" s="10" t="n">
        <v>2737.21</v>
      </c>
      <c r="C11" s="10" t="n">
        <v>1435.87</v>
      </c>
      <c r="D11" s="10" t="n">
        <v>576.45</v>
      </c>
      <c r="E11" s="10" t="n">
        <v>859.42</v>
      </c>
      <c r="F11" s="10" t="n">
        <v>2423.32</v>
      </c>
      <c r="G11" s="10" t="n">
        <v>7567.5</v>
      </c>
      <c r="H11" s="12" t="inlineStr">
        <is>
          <t>Data file 1, p.5</t>
        </is>
      </c>
    </row>
    <row r="12">
      <c r="A12" s="5" t="inlineStr">
        <is>
          <t>Customer advances (Jun-26)</t>
        </is>
      </c>
      <c r="B12" s="10" t="n">
        <v>586011</v>
      </c>
      <c r="C12" s="10" t="n">
        <v>675546</v>
      </c>
      <c r="G12" s="10" t="n">
        <v>1261557</v>
      </c>
      <c r="H12" s="12" t="inlineStr">
        <is>
          <t>Press release, p.8</t>
        </is>
      </c>
    </row>
    <row r="13">
      <c r="A13" s="5" t="inlineStr">
        <is>
          <t>Gross slippages</t>
        </is>
      </c>
      <c r="B13" s="10" t="n">
        <v>390</v>
      </c>
      <c r="C13" s="10" t="n">
        <v>5176</v>
      </c>
      <c r="G13" s="10" t="n">
        <v>5566</v>
      </c>
      <c r="H13" s="12" t="inlineStr">
        <is>
          <t>Earnings call, p.7</t>
        </is>
      </c>
    </row>
    <row r="15" ht="32" customHeight="1">
      <c r="A15" s="3" t="inlineStr">
        <is>
          <t>Metric</t>
        </is>
      </c>
      <c r="B15" s="3" t="inlineStr">
        <is>
          <t>Corporate / Wholesale</t>
        </is>
      </c>
      <c r="C15" s="3" t="inlineStr">
        <is>
          <t>Retail (total)</t>
        </is>
      </c>
      <c r="D15" s="3" t="inlineStr">
        <is>
          <t>Digital Banking</t>
        </is>
      </c>
      <c r="E15" s="3" t="inlineStr">
        <is>
          <t>Other Retail</t>
        </is>
      </c>
      <c r="F15" s="3" t="inlineStr">
        <is>
          <t>Treasury</t>
        </is>
      </c>
      <c r="G15" s="3" t="inlineStr">
        <is>
          <t>Better if</t>
        </is>
      </c>
    </row>
    <row r="16">
      <c r="A16" s="22" t="inlineStr">
        <is>
          <t>Profitability</t>
        </is>
      </c>
      <c r="B16" s="23" t="n"/>
      <c r="C16" s="23" t="n"/>
      <c r="D16" s="23" t="n"/>
      <c r="E16" s="23" t="n"/>
      <c r="F16" s="23" t="n"/>
      <c r="G16" s="23" t="n"/>
    </row>
    <row r="17">
      <c r="A17" s="5" t="inlineStr">
        <is>
          <t>PBT margin</t>
        </is>
      </c>
      <c r="B17" s="24">
        <f>IF(B$6=0,"n/a",B$7/B$6)</f>
        <v/>
      </c>
      <c r="C17" s="24">
        <f>IF(C$6=0,"n/a",C$7/C$6)</f>
        <v/>
      </c>
      <c r="D17" s="24">
        <f>IF(D$6=0,"n/a",D$7/D$6)</f>
        <v/>
      </c>
      <c r="E17" s="24">
        <f>IF(E$6=0,"n/a",E$7/E$6)</f>
        <v/>
      </c>
      <c r="F17" s="24">
        <f>IF(F$6=0,"n/a",F$7/F$6)</f>
        <v/>
      </c>
      <c r="G17" s="7" t="inlineStr">
        <is>
          <t>higher</t>
        </is>
      </c>
    </row>
    <row r="18">
      <c r="A18" s="5" t="inlineStr">
        <is>
          <t>Return on segment assets (annualised)</t>
        </is>
      </c>
      <c r="B18" s="24">
        <f>B$7*4/B$8</f>
        <v/>
      </c>
      <c r="C18" s="24">
        <f>C$7*4/C$8</f>
        <v/>
      </c>
      <c r="D18" s="24">
        <f>D$7*4/D$8</f>
        <v/>
      </c>
      <c r="E18" s="24">
        <f>E$7*4/E$8</f>
        <v/>
      </c>
      <c r="F18" s="24">
        <f>F$7*4/F$8</f>
        <v/>
      </c>
      <c r="G18" s="7" t="inlineStr">
        <is>
          <t>higher</t>
        </is>
      </c>
    </row>
    <row r="19">
      <c r="A19" s="22" t="inlineStr">
        <is>
          <t>Growth</t>
        </is>
      </c>
      <c r="B19" s="23" t="n"/>
      <c r="C19" s="23" t="n"/>
      <c r="D19" s="23" t="n"/>
      <c r="E19" s="23" t="n"/>
      <c r="F19" s="23" t="n"/>
      <c r="G19" s="23" t="n"/>
    </row>
    <row r="20">
      <c r="A20" s="5" t="inlineStr">
        <is>
          <t>Revenue growth YoY (vs Q1FY26)</t>
        </is>
      </c>
      <c r="B20" s="24">
        <f>B$6/B$10-1</f>
        <v/>
      </c>
      <c r="C20" s="24">
        <f>C$6/C$10-1</f>
        <v/>
      </c>
      <c r="D20" s="24">
        <f>D$6/D$10-1</f>
        <v/>
      </c>
      <c r="E20" s="24">
        <f>E$6/E$10-1</f>
        <v/>
      </c>
      <c r="F20" s="24">
        <f>F$6/F$10-1</f>
        <v/>
      </c>
      <c r="G20" s="7" t="inlineStr">
        <is>
          <t>higher</t>
        </is>
      </c>
    </row>
    <row r="21">
      <c r="A21" s="5" t="inlineStr">
        <is>
          <t>PBT growth YoY (vs Q1FY26)</t>
        </is>
      </c>
      <c r="B21" s="24">
        <f>B$7/B$11-1</f>
        <v/>
      </c>
      <c r="C21" s="24">
        <f>C$7/C$11-1</f>
        <v/>
      </c>
      <c r="D21" s="24">
        <f>D$7/D$11-1</f>
        <v/>
      </c>
      <c r="E21" s="24">
        <f>E$7/E$11-1</f>
        <v/>
      </c>
      <c r="F21" s="24">
        <f>F$7/F$11-1</f>
        <v/>
      </c>
      <c r="G21" s="7" t="inlineStr">
        <is>
          <t>higher</t>
        </is>
      </c>
    </row>
    <row r="22">
      <c r="A22" s="22" t="inlineStr">
        <is>
          <t>Contribution</t>
        </is>
      </c>
      <c r="B22" s="23" t="n"/>
      <c r="C22" s="23" t="n"/>
      <c r="D22" s="23" t="n"/>
      <c r="E22" s="23" t="n"/>
      <c r="F22" s="23" t="n"/>
      <c r="G22" s="23" t="n"/>
    </row>
    <row r="23">
      <c r="A23" s="5" t="inlineStr">
        <is>
          <t>Share of bank revenue (gross)</t>
        </is>
      </c>
      <c r="B23" s="24">
        <f>B$6/$G$6</f>
        <v/>
      </c>
      <c r="C23" s="24">
        <f>C$6/$G$6</f>
        <v/>
      </c>
      <c r="D23" s="24">
        <f>D$6/$G$6</f>
        <v/>
      </c>
      <c r="E23" s="24">
        <f>E$6/$G$6</f>
        <v/>
      </c>
      <c r="F23" s="24">
        <f>F$6/$G$6</f>
        <v/>
      </c>
      <c r="G23" s="7" t="inlineStr">
        <is>
          <t>–</t>
        </is>
      </c>
    </row>
    <row r="24">
      <c r="A24" s="5" t="inlineStr">
        <is>
          <t>Share of bank PBT</t>
        </is>
      </c>
      <c r="B24" s="24">
        <f>B$7/$G$7</f>
        <v/>
      </c>
      <c r="C24" s="24">
        <f>C$7/$G$7</f>
        <v/>
      </c>
      <c r="D24" s="24">
        <f>D$7/$G$7</f>
        <v/>
      </c>
      <c r="E24" s="24">
        <f>E$7/$G$7</f>
        <v/>
      </c>
      <c r="F24" s="24">
        <f>F$7/$G$7</f>
        <v/>
      </c>
      <c r="G24" s="7" t="inlineStr">
        <is>
          <t>–</t>
        </is>
      </c>
    </row>
    <row r="25">
      <c r="A25" s="5" t="inlineStr">
        <is>
          <t>Share of bank assets</t>
        </is>
      </c>
      <c r="B25" s="24">
        <f>B$8/$G$8</f>
        <v/>
      </c>
      <c r="C25" s="24">
        <f>C$8/$G$8</f>
        <v/>
      </c>
      <c r="D25" s="24">
        <f>D$8/$G$8</f>
        <v/>
      </c>
      <c r="E25" s="24">
        <f>E$8/$G$8</f>
        <v/>
      </c>
      <c r="F25" s="24">
        <f>F$8/$G$8</f>
        <v/>
      </c>
      <c r="G25" s="7" t="inlineStr">
        <is>
          <t>–</t>
        </is>
      </c>
    </row>
    <row r="26">
      <c r="A26" s="5" t="inlineStr">
        <is>
          <t>Share of bank liabilities</t>
        </is>
      </c>
      <c r="B26" s="24">
        <f>B$9/$G$9</f>
        <v/>
      </c>
      <c r="C26" s="24">
        <f>C$9/$G$9</f>
        <v/>
      </c>
      <c r="D26" s="24">
        <f>D$9/$G$9</f>
        <v/>
      </c>
      <c r="E26" s="24">
        <f>E$9/$G$9</f>
        <v/>
      </c>
      <c r="F26" s="24">
        <f>F$9/$G$9</f>
        <v/>
      </c>
      <c r="G26" s="7" t="inlineStr">
        <is>
          <t>–</t>
        </is>
      </c>
    </row>
    <row r="27">
      <c r="A27" s="22" t="inlineStr">
        <is>
          <t>Funding</t>
        </is>
      </c>
      <c r="B27" s="23" t="n"/>
      <c r="C27" s="23" t="n"/>
      <c r="D27" s="23" t="n"/>
      <c r="E27" s="23" t="n"/>
      <c r="F27" s="23" t="n"/>
      <c r="G27" s="23" t="n"/>
    </row>
    <row r="28">
      <c r="A28" s="5" t="inlineStr">
        <is>
          <t>Liabilities-to-assets</t>
        </is>
      </c>
      <c r="B28" s="25">
        <f>B$9/B$8</f>
        <v/>
      </c>
      <c r="C28" s="25">
        <f>C$9/C$8</f>
        <v/>
      </c>
      <c r="D28" s="25">
        <f>D$9/D$8</f>
        <v/>
      </c>
      <c r="E28" s="25">
        <f>E$9/E$8</f>
        <v/>
      </c>
      <c r="F28" s="25">
        <f>F$9/F$8</f>
        <v/>
      </c>
      <c r="G28" s="7" t="inlineStr">
        <is>
          <t>higher</t>
        </is>
      </c>
    </row>
    <row r="29">
      <c r="A29" s="5" t="inlineStr">
        <is>
          <t>Net funding position (₹ cr)</t>
        </is>
      </c>
      <c r="B29" s="26">
        <f>B$9-B$8</f>
        <v/>
      </c>
      <c r="C29" s="26">
        <f>C$9-C$8</f>
        <v/>
      </c>
      <c r="D29" s="26">
        <f>D$9-D$8</f>
        <v/>
      </c>
      <c r="E29" s="26">
        <f>E$9-E$8</f>
        <v/>
      </c>
      <c r="F29" s="26">
        <f>F$9-F$8</f>
        <v/>
      </c>
      <c r="G29" s="7" t="inlineStr">
        <is>
          <t>–</t>
        </is>
      </c>
    </row>
    <row r="30">
      <c r="A30" s="22" t="inlineStr">
        <is>
          <t>Credit risk</t>
        </is>
      </c>
      <c r="B30" s="23" t="n"/>
      <c r="C30" s="23" t="n"/>
      <c r="D30" s="23" t="n"/>
      <c r="E30" s="23" t="n"/>
      <c r="F30" s="23" t="n"/>
      <c r="G30" s="23" t="n"/>
    </row>
    <row r="31">
      <c r="A31" s="5" t="inlineStr">
        <is>
          <t>Credit mix share</t>
        </is>
      </c>
      <c r="B31" s="24">
        <f>IF(B$12="","n/a",B$12/$G$12)</f>
        <v/>
      </c>
      <c r="C31" s="24">
        <f>IF(C$12="","n/a",C$12/$G$12)</f>
        <v/>
      </c>
      <c r="D31" s="24">
        <f>IF(D$12="","n/a",D$12/$G$12)</f>
        <v/>
      </c>
      <c r="E31" s="24">
        <f>IF(E$12="","n/a",E$12/$G$12)</f>
        <v/>
      </c>
      <c r="F31" s="24">
        <f>IF(F$12="","n/a",F$12/$G$12)</f>
        <v/>
      </c>
      <c r="G31" s="7" t="inlineStr">
        <is>
          <t>–</t>
        </is>
      </c>
    </row>
    <row r="32">
      <c r="A32" s="5" t="inlineStr">
        <is>
          <t>Share of gross slippages</t>
        </is>
      </c>
      <c r="B32" s="24">
        <f>IF(B$13="","n/a",B$13/$G$13)</f>
        <v/>
      </c>
      <c r="C32" s="24">
        <f>IF(C$13="","n/a",C$13/$G$13)</f>
        <v/>
      </c>
      <c r="D32" s="24">
        <f>IF(D$13="","n/a",D$13/$G$13)</f>
        <v/>
      </c>
      <c r="E32" s="24">
        <f>IF(E$13="","n/a",E$13/$G$13)</f>
        <v/>
      </c>
      <c r="F32" s="24">
        <f>IF(F$13="","n/a",F$13/$G$13)</f>
        <v/>
      </c>
      <c r="G32" s="7" t="inlineStr">
        <is>
          <t>lower</t>
        </is>
      </c>
    </row>
    <row r="33">
      <c r="A33" s="5" t="inlineStr">
        <is>
          <t>Gross slippage rate (annualised)</t>
        </is>
      </c>
      <c r="B33" s="24">
        <f>IF(OR(B$13="",B$12=""),"n/a",B$13*4/B$12)</f>
        <v/>
      </c>
      <c r="C33" s="24">
        <f>IF(OR(C$13="",C$12=""),"n/a",C$13*4/C$12)</f>
        <v/>
      </c>
      <c r="D33" s="24">
        <f>IF(OR(D$13="",D$12=""),"n/a",D$13*4/D$12)</f>
        <v/>
      </c>
      <c r="E33" s="24">
        <f>IF(OR(E$13="",E$12=""),"n/a",E$13*4/E$12)</f>
        <v/>
      </c>
      <c r="F33" s="24">
        <f>IF(OR(F$13="",F$12=""),"n/a",F$13*4/F$12)</f>
        <v/>
      </c>
      <c r="G33" s="7" t="inlineStr">
        <is>
          <t>lower</t>
        </is>
      </c>
    </row>
    <row r="35">
      <c r="A35" s="9" t="inlineStr">
        <is>
          <t>Corporate/Wholesale advances and slippages = Corporate + SME (WBCG + CBG). Loan and slippage data are not split for Digital, Other Retail or Treasury (n/a).</t>
        </is>
      </c>
    </row>
    <row r="36">
      <c r="A36" s="9" t="inlineStr">
        <is>
          <t>Annualised figures = quarterly value × 4 ÷ period-end balance. Revenue shares use gross revenue before inter-segment elimination.</t>
        </is>
      </c>
    </row>
    <row r="37">
      <c r="A37" s="9" t="inlineStr">
        <is>
          <t>Colour key: blue = hard-coded input from source files · black = formula · green = link to another sheet · yellow fill = headline ratio. All amounts in ₹ crore.</t>
        </is>
      </c>
    </row>
  </sheetData>
  <conditionalFormatting sqref="B17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0:F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1: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F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2:F32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3:F3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1" t="inlineStr">
        <is>
          <t>Integrity checks — components reconcile to reported totals</t>
        </is>
      </c>
    </row>
    <row r="3" ht="32" customHeight="1">
      <c r="A3" s="3" t="inlineStr">
        <is>
          <t>Check</t>
        </is>
      </c>
      <c r="B3" s="3" t="inlineStr">
        <is>
          <t>Computed</t>
        </is>
      </c>
      <c r="C3" s="3" t="inlineStr">
        <is>
          <t>Reported</t>
        </is>
      </c>
      <c r="D3" s="3" t="inlineStr">
        <is>
          <t>Difference</t>
        </is>
      </c>
      <c r="E3" s="3" t="inlineStr">
        <is>
          <t>Pass</t>
        </is>
      </c>
    </row>
    <row r="4">
      <c r="A4" s="5" t="inlineStr">
        <is>
          <t>Σ segment revenue = total segment revenue</t>
        </is>
      </c>
      <c r="B4" s="10" t="n">
        <v>61839.54</v>
      </c>
      <c r="C4" s="10" t="n">
        <v>61839.54</v>
      </c>
      <c r="D4" s="17">
        <f>B4-C4</f>
        <v/>
      </c>
      <c r="E4" s="5">
        <f>IF(ABS(D4)&lt;=1,"PASS","CHECK")</f>
        <v/>
      </c>
    </row>
    <row r="5">
      <c r="A5" s="5" t="inlineStr">
        <is>
          <t>Σ revenue − inter-segment = income from operations</t>
        </is>
      </c>
      <c r="B5" s="10" t="n">
        <v>40721.05</v>
      </c>
      <c r="C5" s="10" t="n">
        <v>40721.05</v>
      </c>
      <c r="D5" s="17">
        <f>B5-C5</f>
        <v/>
      </c>
      <c r="E5" s="5">
        <f>IF(ABS(D5)&lt;=1,"PASS","CHECK")</f>
        <v/>
      </c>
    </row>
    <row r="6">
      <c r="A6" s="5" t="inlineStr">
        <is>
          <t>Σ segment PBT = bank PBT</t>
        </is>
      </c>
      <c r="B6" s="10" t="n">
        <v>9436.560000000001</v>
      </c>
      <c r="C6" s="10" t="n">
        <v>9436.559999999999</v>
      </c>
      <c r="D6" s="17">
        <f>B6-C6</f>
        <v/>
      </c>
      <c r="E6" s="5">
        <f>IF(ABS(D6)&lt;=1,"PASS","CHECK")</f>
        <v/>
      </c>
    </row>
    <row r="7">
      <c r="A7" s="5" t="inlineStr">
        <is>
          <t>Σ segment assets = total assets</t>
        </is>
      </c>
      <c r="B7" s="10" t="n">
        <v>1921966.17</v>
      </c>
      <c r="C7" s="10" t="n">
        <v>1921966.17</v>
      </c>
      <c r="D7" s="17">
        <f>B7-C7</f>
        <v/>
      </c>
      <c r="E7" s="5">
        <f>IF(ABS(D7)&lt;=1,"PASS","CHECK")</f>
        <v/>
      </c>
    </row>
    <row r="8">
      <c r="A8" s="5" t="inlineStr">
        <is>
          <t>Σ segment liabilities = total segment liabilities</t>
        </is>
      </c>
      <c r="B8" s="10" t="n">
        <v>1710272.78</v>
      </c>
      <c r="C8" s="10" t="n">
        <v>1710272.78</v>
      </c>
      <c r="D8" s="17">
        <f>B8-C8</f>
        <v/>
      </c>
      <c r="E8" s="5">
        <f>IF(ABS(D8)&lt;=1,"PASS","CHECK")</f>
        <v/>
      </c>
    </row>
    <row r="9">
      <c r="A9" s="5" t="inlineStr">
        <is>
          <t>Retail revenue = Digital + Other Retail</t>
        </is>
      </c>
      <c r="B9" s="10" t="n">
        <v>38269.3</v>
      </c>
      <c r="C9" s="10" t="n">
        <v>38269.3</v>
      </c>
      <c r="D9" s="17">
        <f>B9-C9</f>
        <v/>
      </c>
      <c r="E9" s="5">
        <f>IF(ABS(D9)&lt;=1,"PASS","CHECK")</f>
        <v/>
      </c>
    </row>
    <row r="10">
      <c r="A10" s="5" t="inlineStr">
        <is>
          <t>Retail PBT = Digital + Other Retail</t>
        </is>
      </c>
      <c r="B10" s="10" t="n">
        <v>3565.52</v>
      </c>
      <c r="C10" s="10" t="n">
        <v>3565.52</v>
      </c>
      <c r="D10" s="17">
        <f>B10-C10</f>
        <v/>
      </c>
      <c r="E10" s="5">
        <f>IF(ABS(D10)&lt;=1,"PASS","CHECK")</f>
        <v/>
      </c>
    </row>
    <row r="11">
      <c r="A11" s="5" t="inlineStr">
        <is>
          <t>Σ segment PBT = P&amp;L profit before tax</t>
        </is>
      </c>
      <c r="B11" s="10" t="n">
        <v>9436.560000000001</v>
      </c>
      <c r="C11" s="10" t="n">
        <v>9436.559999999999</v>
      </c>
      <c r="D11" s="17">
        <f>B11-C11</f>
        <v/>
      </c>
      <c r="E11" s="5">
        <f>IF(ABS(D11)&lt;=1,"PASS","CHECK")</f>
        <v/>
      </c>
    </row>
    <row r="12">
      <c r="A12" s="5" t="inlineStr">
        <is>
          <t>Corporate + SME + Retail advances = net advances</t>
        </is>
      </c>
      <c r="B12" s="10" t="n">
        <v>1261557</v>
      </c>
      <c r="C12" s="10" t="n">
        <v>1261557</v>
      </c>
      <c r="D12" s="17">
        <f>B12-C12</f>
        <v/>
      </c>
      <c r="E12" s="5">
        <f>IF(ABS(D12)&lt;=1,"PASS","CHECK")</f>
        <v/>
      </c>
    </row>
    <row r="13">
      <c r="A13" s="5" t="inlineStr">
        <is>
          <t>SA + CA = CASA (MEB)</t>
        </is>
      </c>
      <c r="B13" s="10" t="n">
        <v>521698</v>
      </c>
      <c r="C13" s="10" t="n">
        <v>521698</v>
      </c>
      <c r="D13" s="17">
        <f>B13-C13</f>
        <v/>
      </c>
      <c r="E13" s="5">
        <f>IF(ABS(D13)&lt;=1,"PASS","CHECK")</f>
        <v/>
      </c>
    </row>
    <row r="14">
      <c r="A14" s="5" t="inlineStr">
        <is>
          <t>CASA + Term = total deposits (MEB)</t>
        </is>
      </c>
      <c r="B14" s="10" t="n">
        <v>1372936</v>
      </c>
      <c r="C14" s="10" t="n">
        <v>1372936</v>
      </c>
      <c r="D14" s="17">
        <f>B14-C14</f>
        <v/>
      </c>
      <c r="E14" s="5">
        <f>IF(ABS(D14)&lt;=1,"PASS","CHECK")</f>
        <v/>
      </c>
    </row>
    <row r="15">
      <c r="A15" s="5" t="inlineStr">
        <is>
          <t>Press-release deposits = balance-sheet deposits</t>
        </is>
      </c>
      <c r="B15" s="10" t="n">
        <v>1372936</v>
      </c>
      <c r="C15" s="10" t="n">
        <v>1372935.66</v>
      </c>
      <c r="D15" s="17">
        <f>B15-C15</f>
        <v/>
      </c>
      <c r="E15" s="5">
        <f>IF(ABS(D15)&lt;=1,"PASS","CHECK")</f>
        <v/>
      </c>
    </row>
    <row r="16">
      <c r="A16" s="5" t="inlineStr">
        <is>
          <t>Retail + CBG + Wholesale slippages = bank slippages</t>
        </is>
      </c>
      <c r="B16" s="10" t="n">
        <v>5566</v>
      </c>
      <c r="C16" s="10" t="n">
        <v>5566</v>
      </c>
      <c r="D16" s="17">
        <f>B16-C16</f>
        <v/>
      </c>
      <c r="E16" s="5">
        <f>IF(ABS(D16)&lt;=1,"PASS","CHECK")</f>
        <v/>
      </c>
    </row>
    <row r="18">
      <c r="A18" s="9" t="inlineStr">
        <is>
          <t>Tolerance ±₹1 cr (press-release figures are rounded to whole crore).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2026-10-14T18:35:17Z</dcterms:created>
  <dcterms:modified xmlns:dcterms="http://purl.org/dc/terms/" xmlns:xsi="http://www.w3.org/2001/XMLSchema-instance" xsi:type="dcterms:W3CDTF">2026-10-14T18:35:17Z</dcterms:modified>
</cp:coreProperties>
</file>